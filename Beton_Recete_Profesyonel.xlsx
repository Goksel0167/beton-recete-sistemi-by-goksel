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Kontrol Paneli" sheetId="1" state="visible" r:id="rId1"/>
    <sheet xmlns:r="http://schemas.openxmlformats.org/officeDocument/2006/relationships" name="Ref-Tablolar" sheetId="2" state="visible" r:id="rId2"/>
    <sheet xmlns:r="http://schemas.openxmlformats.org/officeDocument/2006/relationships" name="2-Malzemeler" sheetId="3" state="visible" r:id="rId3"/>
    <sheet xmlns:r="http://schemas.openxmlformats.org/officeDocument/2006/relationships" name="3-Agregalar" sheetId="4" state="visible" r:id="rId4"/>
    <sheet xmlns:r="http://schemas.openxmlformats.org/officeDocument/2006/relationships" name="4-Elek-0-4mm" sheetId="5" state="visible" r:id="rId5"/>
    <sheet xmlns:r="http://schemas.openxmlformats.org/officeDocument/2006/relationships" name="5-Elek-4-11mm" sheetId="6" state="visible" r:id="rId6"/>
    <sheet xmlns:r="http://schemas.openxmlformats.org/officeDocument/2006/relationships" name="6-Elek-11-22mm" sheetId="7" state="visible" r:id="rId7"/>
    <sheet xmlns:r="http://schemas.openxmlformats.org/officeDocument/2006/relationships" name="7-Gradasyon" sheetId="8" state="visible" r:id="rId8"/>
    <sheet xmlns:r="http://schemas.openxmlformats.org/officeDocument/2006/relationships" name="8-Reçete DKY" sheetId="9" state="visible" r:id="rId9"/>
    <sheet xmlns:r="http://schemas.openxmlformats.org/officeDocument/2006/relationships" name="9-Reçete Rutubetli" sheetId="10" state="visible" r:id="rId10"/>
    <sheet xmlns:r="http://schemas.openxmlformats.org/officeDocument/2006/relationships" name="10-Dene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&quot;%&quot;"/>
    <numFmt numFmtId="166" formatCode="0.000"/>
  </numFmts>
  <fonts count="1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FFFFFF"/>
      <sz val="16"/>
    </font>
    <font>
      <b val="1"/>
      <color rgb="000000FF"/>
    </font>
    <font>
      <b val="1"/>
      <sz val="12"/>
    </font>
    <font>
      <b val="1"/>
      <color rgb="000000FF"/>
      <sz val="12"/>
    </font>
    <font>
      <b val="1"/>
      <color rgb="00FFFFFF"/>
      <sz val="14"/>
    </font>
    <font/>
    <font>
      <b val="1"/>
      <sz val="11"/>
    </font>
    <font/>
    <font>
      <i val="1"/>
      <sz val="9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92D050"/>
        <bgColor rgb="0092D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3" fillId="5" borderId="0" pivotButton="0" quotePrefix="0" xfId="0"/>
    <xf numFmtId="2" fontId="3" fillId="5" borderId="0" pivotButton="0" quotePrefix="0" xfId="0"/>
    <xf numFmtId="1" fontId="3" fillId="5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2" fontId="3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5" fillId="4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10" fillId="5" borderId="0" pivotButton="0" quotePrefix="0" xfId="0"/>
    <xf numFmtId="164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6" fillId="5" borderId="0" pivotButton="0" quotePrefix="0" xfId="0"/>
    <xf numFmtId="0" fontId="12" fillId="0" borderId="0" pivotButton="0" quotePrefix="0" xfId="0"/>
    <xf numFmtId="165" fontId="0" fillId="5" borderId="0" pivotButton="0" quotePrefix="0" xfId="0"/>
    <xf numFmtId="1" fontId="5" fillId="4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0" borderId="4" pivotButton="0" quotePrefix="0" xfId="0"/>
    <xf numFmtId="166" fontId="6" fillId="5" borderId="0" pivotButton="0" quotePrefix="0" xfId="0"/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6" fillId="5" borderId="0" pivotButton="0" quotePrefix="0" xfId="0"/>
    <xf numFmtId="164" fontId="13" fillId="6" borderId="0" pivotButton="0" quotePrefix="0" xfId="0"/>
    <xf numFmtId="2" fontId="0" fillId="5" borderId="0" pivotButton="0" quotePrefix="0" xfId="0"/>
    <xf numFmtId="164" fontId="0" fillId="0" borderId="0" pivotButton="0" quotePrefix="0" xfId="0"/>
    <xf numFmtId="164" fontId="3" fillId="5" borderId="0" pivotButton="0" quotePrefix="0" xfId="0"/>
    <xf numFmtId="2" fontId="0" fillId="0" borderId="0" pivotButton="0" quotePrefix="0" xfId="0"/>
    <xf numFmtId="164" fontId="0" fillId="5" borderId="0" pivotButton="0" quotePrefix="0" xfId="0"/>
    <xf numFmtId="0" fontId="3" fillId="3" borderId="0" pivotButton="0" quotePrefix="0" xfId="0"/>
    <xf numFmtId="164" fontId="6" fillId="6" borderId="0" pivotButton="0" quotePrefix="0" xfId="0"/>
    <xf numFmtId="2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Kombine Gradasyon Eğrisi</a:t>
            </a:r>
          </a:p>
        </rich>
      </tx>
    </title>
    <plotArea>
      <lineChart>
        <grouping val="standard"/>
        <ser>
          <idx val="0"/>
          <order val="0"/>
          <tx>
            <strRef>
              <f>'7-Gradasyon'!F15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'7-Gradasyon'!$A$16:$A$28</f>
            </numRef>
          </cat>
          <val>
            <numRef>
              <f>'7-Gradasyon'!$F$16:$F$28</f>
            </numRef>
          </val>
        </ser>
        <ser>
          <idx val="1"/>
          <order val="1"/>
          <tx>
            <strRef>
              <f>'7-Gradasyon'!G15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'7-Gradasyon'!$G$16:$G$28</f>
            </numRef>
          </val>
        </ser>
        <ser>
          <idx val="2"/>
          <order val="2"/>
          <tx>
            <strRef>
              <f>'7-Gradasyon'!H15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'7-Gradasyon'!$H$16:$H$28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Elek Açıklığı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Geçen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PROFESYONEL BETON REÇETE TASARIM PROGRAMI</t>
        </is>
      </c>
    </row>
    <row r="3">
      <c r="A3" s="2" t="inlineStr">
        <is>
          <t>PROJE BİLGİLERİ</t>
        </is>
      </c>
    </row>
    <row r="4">
      <c r="A4" s="3" t="inlineStr">
        <is>
          <t>Proje Adı:</t>
        </is>
      </c>
      <c r="B4" s="4" t="n"/>
      <c r="G4" s="3" t="inlineStr">
        <is>
          <t>Hazırlayan:</t>
        </is>
      </c>
      <c r="H4" s="4" t="n"/>
    </row>
    <row r="7">
      <c r="A7" s="2" t="inlineStr">
        <is>
          <t>BETON SINIFI</t>
        </is>
      </c>
    </row>
    <row r="8">
      <c r="A8" s="5" t="inlineStr">
        <is>
          <t>Beton Sınıfı:</t>
        </is>
      </c>
      <c r="C8" s="6" t="inlineStr">
        <is>
          <t>C30/37</t>
        </is>
      </c>
      <c r="E8" s="3" t="inlineStr">
        <is>
          <t>fck:</t>
        </is>
      </c>
      <c r="F8" s="7">
        <f>VLOOKUP(C8,'Ref-Tablolar'!A4:D17,2,0)</f>
        <v/>
      </c>
      <c r="G8" t="inlineStr">
        <is>
          <t>MPa</t>
        </is>
      </c>
      <c r="H8" s="3" t="inlineStr">
        <is>
          <t>fcm:</t>
        </is>
      </c>
      <c r="I8" s="7">
        <f>VLOOKUP(C8,'Ref-Tablolar'!A4:D17,3,0)</f>
        <v/>
      </c>
      <c r="J8" t="inlineStr">
        <is>
          <t>MPa</t>
        </is>
      </c>
    </row>
    <row r="11">
      <c r="A11" s="2" t="inlineStr">
        <is>
          <t>ÇEVRE ETKİ SINIFI</t>
        </is>
      </c>
    </row>
    <row r="12">
      <c r="A12" s="5" t="inlineStr">
        <is>
          <t>Etki Sınıfı:</t>
        </is>
      </c>
      <c r="C12" s="6" t="inlineStr">
        <is>
          <t>XC4</t>
        </is>
      </c>
    </row>
    <row r="14">
      <c r="A14" s="3" t="inlineStr">
        <is>
          <t>Max s/ç:</t>
        </is>
      </c>
      <c r="C14" s="8">
        <f>VLOOKUP(C12,'Ref-Tablolar'!A21:D41,2,0)</f>
        <v/>
      </c>
      <c r="E14" s="3" t="inlineStr">
        <is>
          <t>Min Çimento:</t>
        </is>
      </c>
      <c r="G14" s="9">
        <f>VLOOKUP(C12,'Ref-Tablolar'!A21:D41,3,0)</f>
        <v/>
      </c>
      <c r="H14" t="inlineStr">
        <is>
          <t>kg/m³</t>
        </is>
      </c>
      <c r="I14" s="3" t="inlineStr">
        <is>
          <t>Min Hava:</t>
        </is>
      </c>
      <c r="K14" s="7">
        <f>VLOOKUP(C12,'Ref-Tablolar'!A21:D41,4,0)</f>
        <v/>
      </c>
      <c r="L14" t="inlineStr">
        <is>
          <t>%</t>
        </is>
      </c>
    </row>
    <row r="17">
      <c r="A17" s="2" t="inlineStr">
        <is>
          <t>KIVAM VE TAŞIMA</t>
        </is>
      </c>
    </row>
    <row r="18">
      <c r="A18" s="3" t="inlineStr">
        <is>
          <t>Çökme Sınıfı:</t>
        </is>
      </c>
      <c r="C18" s="4" t="inlineStr">
        <is>
          <t>S3</t>
        </is>
      </c>
      <c r="E18" s="3" t="inlineStr">
        <is>
          <t>Hedef Çökme (mm):</t>
        </is>
      </c>
      <c r="G18" s="4" t="inlineStr">
        <is>
          <t>100-150</t>
        </is>
      </c>
    </row>
    <row r="19">
      <c r="A19" s="3" t="inlineStr">
        <is>
          <t>Taşıma:</t>
        </is>
      </c>
      <c r="C19" s="4" t="inlineStr">
        <is>
          <t>Pompa</t>
        </is>
      </c>
    </row>
  </sheetData>
  <mergeCells count="7">
    <mergeCell ref="B4:F4"/>
    <mergeCell ref="A7:L7"/>
    <mergeCell ref="A11:L11"/>
    <mergeCell ref="A1:L1"/>
    <mergeCell ref="A17:L17"/>
    <mergeCell ref="A3:L3"/>
    <mergeCell ref="H4:L4"/>
  </mergeCells>
  <dataValidations count="3">
    <dataValidation sqref="C8" showDropDown="0" showInputMessage="0" showErrorMessage="0" allowBlank="0" type="list">
      <formula1>"C8/10,C12/15,C16/20,C20/25,C25/30,C30/37,C35/45,C40/50,C45/55,C50/60,C55/67,C60/75,C70/85,C80/95"</formula1>
    </dataValidation>
    <dataValidation sqref="C12" showDropDown="0" showInputMessage="0" showErrorMessage="0" allowBlank="0" type="list">
      <formula1>"X0,XC1,XC2,XC3,XC4,XD1,XD2,XD3,XS1,XS2,XS3,XF1,XF2,XF3,XF4,XA1,XA2,XA3,XM1,XM2,XM3"</formula1>
    </dataValidation>
    <dataValidation sqref="C18" showDropDown="0" showInputMessage="0" showErrorMessage="0" allowBlank="0" type="list">
      <formula1>"S1,S2,S3,S4,S5"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0" t="inlineStr">
        <is>
          <t>REFERANS TABLOLARI</t>
        </is>
      </c>
    </row>
    <row r="3">
      <c r="A3" s="11" t="inlineStr">
        <is>
          <t>Beton Sınıfı</t>
        </is>
      </c>
      <c r="B3" s="11" t="inlineStr">
        <is>
          <t>fck (MPa)</t>
        </is>
      </c>
      <c r="C3" s="11" t="inlineStr">
        <is>
          <t>fcm (MPa)</t>
        </is>
      </c>
      <c r="D3" s="11" t="inlineStr">
        <is>
          <t>Std Sapma</t>
        </is>
      </c>
    </row>
    <row r="4">
      <c r="A4" s="12" t="inlineStr">
        <is>
          <t>C8/10</t>
        </is>
      </c>
      <c r="B4" s="12" t="n">
        <v>8</v>
      </c>
      <c r="C4" s="12" t="n">
        <v>12</v>
      </c>
      <c r="D4" s="12" t="n">
        <v>4</v>
      </c>
    </row>
    <row r="5">
      <c r="A5" s="12" t="inlineStr">
        <is>
          <t>C12/15</t>
        </is>
      </c>
      <c r="B5" s="12" t="n">
        <v>12</v>
      </c>
      <c r="C5" s="12" t="n">
        <v>16</v>
      </c>
      <c r="D5" s="12" t="n">
        <v>4</v>
      </c>
    </row>
    <row r="6">
      <c r="A6" s="12" t="inlineStr">
        <is>
          <t>C16/20</t>
        </is>
      </c>
      <c r="B6" s="12" t="n">
        <v>16</v>
      </c>
      <c r="C6" s="12" t="n">
        <v>20</v>
      </c>
      <c r="D6" s="12" t="n">
        <v>4</v>
      </c>
    </row>
    <row r="7">
      <c r="A7" s="12" t="inlineStr">
        <is>
          <t>C20/25</t>
        </is>
      </c>
      <c r="B7" s="12" t="n">
        <v>20</v>
      </c>
      <c r="C7" s="12" t="n">
        <v>26</v>
      </c>
      <c r="D7" s="12" t="n">
        <v>4</v>
      </c>
    </row>
    <row r="8">
      <c r="A8" s="12" t="inlineStr">
        <is>
          <t>C25/30</t>
        </is>
      </c>
      <c r="B8" s="12" t="n">
        <v>25</v>
      </c>
      <c r="C8" s="12" t="n">
        <v>31</v>
      </c>
      <c r="D8" s="12" t="n">
        <v>4</v>
      </c>
    </row>
    <row r="9">
      <c r="A9" s="12" t="inlineStr">
        <is>
          <t>C30/37</t>
        </is>
      </c>
      <c r="B9" s="12" t="n">
        <v>30</v>
      </c>
      <c r="C9" s="12" t="n">
        <v>36</v>
      </c>
      <c r="D9" s="12" t="n">
        <v>4</v>
      </c>
    </row>
    <row r="10">
      <c r="A10" s="12" t="inlineStr">
        <is>
          <t>C35/45</t>
        </is>
      </c>
      <c r="B10" s="12" t="n">
        <v>35</v>
      </c>
      <c r="C10" s="12" t="n">
        <v>43</v>
      </c>
      <c r="D10" s="12" t="n">
        <v>4</v>
      </c>
    </row>
    <row r="11">
      <c r="A11" s="12" t="inlineStr">
        <is>
          <t>C40/50</t>
        </is>
      </c>
      <c r="B11" s="12" t="n">
        <v>40</v>
      </c>
      <c r="C11" s="12" t="n">
        <v>48</v>
      </c>
      <c r="D11" s="12" t="n">
        <v>4</v>
      </c>
    </row>
    <row r="12">
      <c r="A12" s="12" t="inlineStr">
        <is>
          <t>C45/55</t>
        </is>
      </c>
      <c r="B12" s="12" t="n">
        <v>45</v>
      </c>
      <c r="C12" s="12" t="n">
        <v>53</v>
      </c>
      <c r="D12" s="12" t="n">
        <v>4</v>
      </c>
    </row>
    <row r="13">
      <c r="A13" s="12" t="inlineStr">
        <is>
          <t>C50/60</t>
        </is>
      </c>
      <c r="B13" s="12" t="n">
        <v>50</v>
      </c>
      <c r="C13" s="12" t="n">
        <v>58</v>
      </c>
      <c r="D13" s="12" t="n">
        <v>4</v>
      </c>
    </row>
    <row r="14">
      <c r="A14" s="12" t="inlineStr">
        <is>
          <t>C55/67</t>
        </is>
      </c>
      <c r="B14" s="12" t="n">
        <v>55</v>
      </c>
      <c r="C14" s="12" t="n">
        <v>63</v>
      </c>
      <c r="D14" s="12" t="n">
        <v>5</v>
      </c>
    </row>
    <row r="15">
      <c r="A15" s="12" t="inlineStr">
        <is>
          <t>C60/75</t>
        </is>
      </c>
      <c r="B15" s="12" t="n">
        <v>60</v>
      </c>
      <c r="C15" s="12" t="n">
        <v>68</v>
      </c>
      <c r="D15" s="12" t="n">
        <v>5</v>
      </c>
    </row>
    <row r="16">
      <c r="A16" s="12" t="inlineStr">
        <is>
          <t>C70/85</t>
        </is>
      </c>
      <c r="B16" s="12" t="n">
        <v>70</v>
      </c>
      <c r="C16" s="12" t="n">
        <v>78</v>
      </c>
      <c r="D16" s="12" t="n">
        <v>5</v>
      </c>
    </row>
    <row r="17">
      <c r="A17" s="12" t="inlineStr">
        <is>
          <t>C80/95</t>
        </is>
      </c>
      <c r="B17" s="12" t="n">
        <v>80</v>
      </c>
      <c r="C17" s="12" t="n">
        <v>88</v>
      </c>
      <c r="D17" s="12" t="n">
        <v>5</v>
      </c>
    </row>
    <row r="20">
      <c r="A20" s="11" t="inlineStr">
        <is>
          <t>Etki Sınıfı</t>
        </is>
      </c>
      <c r="B20" s="11" t="inlineStr">
        <is>
          <t>Max s/ç</t>
        </is>
      </c>
      <c r="C20" s="11" t="inlineStr">
        <is>
          <t>Min Çimento</t>
        </is>
      </c>
      <c r="D20" s="11" t="inlineStr">
        <is>
          <t>Min Hava %</t>
        </is>
      </c>
    </row>
    <row r="21">
      <c r="A21" s="12" t="inlineStr">
        <is>
          <t>X0</t>
        </is>
      </c>
      <c r="B21" s="12" t="inlineStr">
        <is>
          <t>-</t>
        </is>
      </c>
      <c r="C21" s="12" t="inlineStr">
        <is>
          <t>-</t>
        </is>
      </c>
      <c r="D21" s="12" t="inlineStr">
        <is>
          <t>-</t>
        </is>
      </c>
    </row>
    <row r="22">
      <c r="A22" s="12" t="inlineStr">
        <is>
          <t>XC1</t>
        </is>
      </c>
      <c r="B22" s="12" t="n">
        <v>0.65</v>
      </c>
      <c r="C22" s="12" t="n">
        <v>260</v>
      </c>
      <c r="D22" s="12" t="inlineStr">
        <is>
          <t>-</t>
        </is>
      </c>
    </row>
    <row r="23">
      <c r="A23" s="12" t="inlineStr">
        <is>
          <t>XC2</t>
        </is>
      </c>
      <c r="B23" s="12" t="n">
        <v>0.6</v>
      </c>
      <c r="C23" s="12" t="n">
        <v>280</v>
      </c>
      <c r="D23" s="12" t="inlineStr">
        <is>
          <t>-</t>
        </is>
      </c>
    </row>
    <row r="24">
      <c r="A24" s="12" t="inlineStr">
        <is>
          <t>XC3</t>
        </is>
      </c>
      <c r="B24" s="12" t="n">
        <v>0.55</v>
      </c>
      <c r="C24" s="12" t="n">
        <v>280</v>
      </c>
      <c r="D24" s="12" t="inlineStr">
        <is>
          <t>-</t>
        </is>
      </c>
    </row>
    <row r="25">
      <c r="A25" s="12" t="inlineStr">
        <is>
          <t>XC4</t>
        </is>
      </c>
      <c r="B25" s="12" t="n">
        <v>0.5</v>
      </c>
      <c r="C25" s="12" t="n">
        <v>300</v>
      </c>
      <c r="D25" s="12" t="inlineStr">
        <is>
          <t>-</t>
        </is>
      </c>
    </row>
    <row r="26">
      <c r="A26" s="12" t="inlineStr">
        <is>
          <t>XD1</t>
        </is>
      </c>
      <c r="B26" s="12" t="n">
        <v>0.55</v>
      </c>
      <c r="C26" s="12" t="n">
        <v>300</v>
      </c>
      <c r="D26" s="12" t="inlineStr">
        <is>
          <t>-</t>
        </is>
      </c>
    </row>
    <row r="27">
      <c r="A27" s="12" t="inlineStr">
        <is>
          <t>XD2</t>
        </is>
      </c>
      <c r="B27" s="12" t="n">
        <v>0.55</v>
      </c>
      <c r="C27" s="12" t="n">
        <v>300</v>
      </c>
      <c r="D27" s="12" t="inlineStr">
        <is>
          <t>-</t>
        </is>
      </c>
    </row>
    <row r="28">
      <c r="A28" s="12" t="inlineStr">
        <is>
          <t>XD3</t>
        </is>
      </c>
      <c r="B28" s="12" t="n">
        <v>0.45</v>
      </c>
      <c r="C28" s="12" t="n">
        <v>320</v>
      </c>
      <c r="D28" s="12" t="inlineStr">
        <is>
          <t>-</t>
        </is>
      </c>
    </row>
    <row r="29">
      <c r="A29" s="12" t="inlineStr">
        <is>
          <t>XS1</t>
        </is>
      </c>
      <c r="B29" s="12" t="n">
        <v>0.5</v>
      </c>
      <c r="C29" s="12" t="n">
        <v>300</v>
      </c>
      <c r="D29" s="12" t="inlineStr">
        <is>
          <t>-</t>
        </is>
      </c>
    </row>
    <row r="30">
      <c r="A30" s="12" t="inlineStr">
        <is>
          <t>XS2</t>
        </is>
      </c>
      <c r="B30" s="12" t="n">
        <v>0.45</v>
      </c>
      <c r="C30" s="12" t="n">
        <v>320</v>
      </c>
      <c r="D30" s="12" t="inlineStr">
        <is>
          <t>-</t>
        </is>
      </c>
    </row>
    <row r="31">
      <c r="A31" s="12" t="inlineStr">
        <is>
          <t>XS3</t>
        </is>
      </c>
      <c r="B31" s="12" t="n">
        <v>0.45</v>
      </c>
      <c r="C31" s="12" t="n">
        <v>340</v>
      </c>
      <c r="D31" s="12" t="inlineStr">
        <is>
          <t>-</t>
        </is>
      </c>
    </row>
    <row r="32">
      <c r="A32" s="12" t="inlineStr">
        <is>
          <t>XF1</t>
        </is>
      </c>
      <c r="B32" s="12" t="n">
        <v>0.55</v>
      </c>
      <c r="C32" s="12" t="n">
        <v>300</v>
      </c>
      <c r="D32" s="12" t="inlineStr">
        <is>
          <t>-</t>
        </is>
      </c>
    </row>
    <row r="33">
      <c r="A33" s="12" t="inlineStr">
        <is>
          <t>XF2</t>
        </is>
      </c>
      <c r="B33" s="12" t="n">
        <v>0.55</v>
      </c>
      <c r="C33" s="12" t="n">
        <v>300</v>
      </c>
      <c r="D33" s="12" t="n">
        <v>4</v>
      </c>
    </row>
    <row r="34">
      <c r="A34" s="12" t="inlineStr">
        <is>
          <t>XF3</t>
        </is>
      </c>
      <c r="B34" s="12" t="n">
        <v>0.5</v>
      </c>
      <c r="C34" s="12" t="n">
        <v>320</v>
      </c>
      <c r="D34" s="12" t="n">
        <v>4</v>
      </c>
    </row>
    <row r="35">
      <c r="A35" s="12" t="inlineStr">
        <is>
          <t>XF4</t>
        </is>
      </c>
      <c r="B35" s="12" t="n">
        <v>0.45</v>
      </c>
      <c r="C35" s="12" t="n">
        <v>340</v>
      </c>
      <c r="D35" s="12" t="n">
        <v>4</v>
      </c>
    </row>
    <row r="36">
      <c r="A36" s="12" t="inlineStr">
        <is>
          <t>XA1</t>
        </is>
      </c>
      <c r="B36" s="12" t="n">
        <v>0.55</v>
      </c>
      <c r="C36" s="12" t="n">
        <v>300</v>
      </c>
      <c r="D36" s="12" t="inlineStr">
        <is>
          <t>-</t>
        </is>
      </c>
    </row>
    <row r="37">
      <c r="A37" s="12" t="inlineStr">
        <is>
          <t>XA2</t>
        </is>
      </c>
      <c r="B37" s="12" t="n">
        <v>0.5</v>
      </c>
      <c r="C37" s="12" t="n">
        <v>320</v>
      </c>
      <c r="D37" s="12" t="inlineStr">
        <is>
          <t>-</t>
        </is>
      </c>
    </row>
    <row r="38">
      <c r="A38" s="12" t="inlineStr">
        <is>
          <t>XA3</t>
        </is>
      </c>
      <c r="B38" s="12" t="n">
        <v>0.45</v>
      </c>
      <c r="C38" s="12" t="n">
        <v>360</v>
      </c>
      <c r="D38" s="12" t="inlineStr">
        <is>
          <t>-</t>
        </is>
      </c>
    </row>
    <row r="39">
      <c r="A39" s="12" t="inlineStr">
        <is>
          <t>XM1</t>
        </is>
      </c>
      <c r="B39" s="12" t="n">
        <v>0.55</v>
      </c>
      <c r="C39" s="12" t="n">
        <v>300</v>
      </c>
      <c r="D39" s="12" t="inlineStr">
        <is>
          <t>-</t>
        </is>
      </c>
    </row>
    <row r="40">
      <c r="A40" s="12" t="inlineStr">
        <is>
          <t>XM2</t>
        </is>
      </c>
      <c r="B40" s="12" t="n">
        <v>0.55</v>
      </c>
      <c r="C40" s="12" t="n">
        <v>300</v>
      </c>
      <c r="D40" s="12" t="inlineStr">
        <is>
          <t>-</t>
        </is>
      </c>
    </row>
    <row r="41">
      <c r="A41" s="12" t="inlineStr">
        <is>
          <t>XM3</t>
        </is>
      </c>
      <c r="B41" s="12" t="n">
        <v>0.45</v>
      </c>
      <c r="C41" s="12" t="n">
        <v>320</v>
      </c>
      <c r="D41" s="12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5" customWidth="1" min="4" max="4"/>
  </cols>
  <sheetData>
    <row r="1">
      <c r="A1" s="13" t="inlineStr">
        <is>
          <t>MALZEME ÖZELLİKLERİ VE BİRİM AĞIRLIKLAR</t>
        </is>
      </c>
    </row>
    <row r="3">
      <c r="A3" s="2" t="inlineStr">
        <is>
          <t>ÇİMENTO</t>
        </is>
      </c>
    </row>
    <row r="4">
      <c r="A4" s="14" t="inlineStr">
        <is>
          <t>Özellik</t>
        </is>
      </c>
      <c r="B4" s="15" t="inlineStr">
        <is>
          <t>Değer</t>
        </is>
      </c>
      <c r="C4" s="16" t="inlineStr">
        <is>
          <t>Birim</t>
        </is>
      </c>
      <c r="D4" s="16" t="inlineStr">
        <is>
          <t>Not</t>
        </is>
      </c>
    </row>
    <row r="5">
      <c r="A5" s="15" t="inlineStr">
        <is>
          <t>Çimento Tipi</t>
        </is>
      </c>
      <c r="B5" s="17" t="inlineStr">
        <is>
          <t>CEM II/B 42.5R</t>
        </is>
      </c>
      <c r="C5" s="16" t="inlineStr">
        <is>
          <t>-</t>
        </is>
      </c>
      <c r="D5" s="16" t="inlineStr">
        <is>
          <t>TS EN 197-1</t>
        </is>
      </c>
    </row>
    <row r="6">
      <c r="A6" s="15" t="inlineStr">
        <is>
          <t>Yoğunluk (ρç)</t>
        </is>
      </c>
      <c r="B6" s="17" t="inlineStr">
        <is>
          <t>3.00</t>
        </is>
      </c>
      <c r="C6" s="16" t="inlineStr">
        <is>
          <t>kg/dm³</t>
        </is>
      </c>
      <c r="D6" s="16" t="inlineStr">
        <is>
          <t>Tablo-16</t>
        </is>
      </c>
    </row>
    <row r="7">
      <c r="A7" s="15" t="inlineStr">
        <is>
          <t>Dayanım Sınıfı</t>
        </is>
      </c>
      <c r="B7" s="17" t="inlineStr">
        <is>
          <t>42.5</t>
        </is>
      </c>
      <c r="C7" s="16" t="inlineStr">
        <is>
          <t>MPa</t>
        </is>
      </c>
      <c r="D7" s="16" t="inlineStr"/>
    </row>
    <row r="8">
      <c r="A8" s="15" t="inlineStr">
        <is>
          <t>Fabrika</t>
        </is>
      </c>
      <c r="B8" s="17" t="inlineStr"/>
      <c r="C8" s="16" t="inlineStr">
        <is>
          <t>-</t>
        </is>
      </c>
      <c r="D8" s="16" t="inlineStr"/>
    </row>
    <row r="11">
      <c r="A11" s="2" t="inlineStr">
        <is>
          <t>KİMYASAL KATKI (Süper Akışkanlaştırıcı)</t>
        </is>
      </c>
    </row>
    <row r="12">
      <c r="A12" s="15" t="inlineStr">
        <is>
          <t>Katkı Markası</t>
        </is>
      </c>
      <c r="B12" s="17" t="inlineStr">
        <is>
          <t>MasterGlenium SKY 504</t>
        </is>
      </c>
      <c r="C12" s="16" t="inlineStr">
        <is>
          <t>-</t>
        </is>
      </c>
      <c r="D12" s="16" t="inlineStr">
        <is>
          <t>Polikarboksilat Eter</t>
        </is>
      </c>
    </row>
    <row r="13">
      <c r="A13" s="15" t="inlineStr">
        <is>
          <t>Yoğunluk (ρk)</t>
        </is>
      </c>
      <c r="B13" s="17" t="inlineStr">
        <is>
          <t>1.05</t>
        </is>
      </c>
      <c r="C13" s="16" t="inlineStr">
        <is>
          <t>kg/dm³</t>
        </is>
      </c>
      <c r="D13" s="16" t="inlineStr"/>
    </row>
    <row r="14">
      <c r="A14" s="15" t="inlineStr">
        <is>
          <t>Dozaj (Çimento %)</t>
        </is>
      </c>
      <c r="B14" s="17" t="inlineStr">
        <is>
          <t>1.5</t>
        </is>
      </c>
      <c r="C14" s="16" t="inlineStr">
        <is>
          <t>% (ağ.)</t>
        </is>
      </c>
      <c r="D14" s="16" t="inlineStr">
        <is>
          <t>Uygunluk den.</t>
        </is>
      </c>
    </row>
    <row r="15">
      <c r="A15" s="15" t="inlineStr">
        <is>
          <t>Su Azaltma Oranı</t>
        </is>
      </c>
      <c r="B15" s="17" t="inlineStr">
        <is>
          <t>20</t>
        </is>
      </c>
      <c r="C15" s="16" t="inlineStr">
        <is>
          <t>%</t>
        </is>
      </c>
      <c r="D15" s="16" t="inlineStr">
        <is>
          <t>%15-30 arası</t>
        </is>
      </c>
    </row>
    <row r="16">
      <c r="A16" s="15" t="inlineStr">
        <is>
          <t>Katkı Miktarı</t>
        </is>
      </c>
      <c r="B16" s="18">
        <f>'8-Reçete DKY'!B15*B14/100</f>
        <v/>
      </c>
      <c r="C16" s="16" t="inlineStr">
        <is>
          <t>kg/m³</t>
        </is>
      </c>
      <c r="D16" s="16" t="inlineStr">
        <is>
          <t>Otomatik</t>
        </is>
      </c>
    </row>
    <row r="19">
      <c r="A19" s="2" t="inlineStr">
        <is>
          <t>HAVA SÜRÜKLEYİCİ KATKI</t>
        </is>
      </c>
    </row>
    <row r="20">
      <c r="A20" s="15" t="inlineStr">
        <is>
          <t>Kullanım</t>
        </is>
      </c>
      <c r="B20" s="17" t="inlineStr">
        <is>
          <t>EVET</t>
        </is>
      </c>
      <c r="C20" s="16" t="inlineStr">
        <is>
          <t>-</t>
        </is>
      </c>
      <c r="D20" s="16" t="inlineStr">
        <is>
          <t>Donma için gerekli</t>
        </is>
      </c>
    </row>
    <row r="21">
      <c r="A21" s="15" t="inlineStr">
        <is>
          <t>Katkı Markası</t>
        </is>
      </c>
      <c r="B21" s="17" t="inlineStr">
        <is>
          <t>MasterAir</t>
        </is>
      </c>
      <c r="C21" s="16" t="inlineStr">
        <is>
          <t>-</t>
        </is>
      </c>
      <c r="D21" s="16" t="inlineStr"/>
    </row>
    <row r="22">
      <c r="A22" s="15" t="inlineStr">
        <is>
          <t>Yoğunluk</t>
        </is>
      </c>
      <c r="B22" s="17" t="inlineStr">
        <is>
          <t>1.00</t>
        </is>
      </c>
      <c r="C22" s="16" t="inlineStr">
        <is>
          <t>kg/dm³</t>
        </is>
      </c>
      <c r="D22" s="16" t="inlineStr"/>
    </row>
    <row r="23">
      <c r="A23" s="15" t="inlineStr">
        <is>
          <t>Dozaj (Çimento %)</t>
        </is>
      </c>
      <c r="B23" s="17" t="inlineStr">
        <is>
          <t>0.05</t>
        </is>
      </c>
      <c r="C23" s="16" t="inlineStr">
        <is>
          <t>% (ağ.)</t>
        </is>
      </c>
      <c r="D23" s="16" t="inlineStr">
        <is>
          <t>Deneme</t>
        </is>
      </c>
    </row>
    <row r="24">
      <c r="A24" s="15" t="inlineStr">
        <is>
          <t>Katkı Miktarı</t>
        </is>
      </c>
      <c r="B24" s="18">
        <f>'8-Reçete DKY'!B15*B23/100</f>
        <v/>
      </c>
      <c r="C24" s="16" t="inlineStr">
        <is>
          <t>kg/m³</t>
        </is>
      </c>
      <c r="D24" s="16" t="inlineStr">
        <is>
          <t>Otomatik</t>
        </is>
      </c>
    </row>
    <row r="25">
      <c r="A25" s="15" t="inlineStr">
        <is>
          <t>Hedef Hava İçeriği</t>
        </is>
      </c>
      <c r="B25" s="18">
        <f>'1-Kontrol Paneli'!K14</f>
        <v/>
      </c>
      <c r="C25" s="16" t="inlineStr">
        <is>
          <t>%</t>
        </is>
      </c>
      <c r="D25" s="16" t="inlineStr">
        <is>
          <t>Çevre etkisinden</t>
        </is>
      </c>
    </row>
  </sheetData>
  <mergeCells count="4">
    <mergeCell ref="A19:H19"/>
    <mergeCell ref="A3:H3"/>
    <mergeCell ref="A11:H11"/>
    <mergeCell ref="A1:H1"/>
  </mergeCells>
  <dataValidations count="1">
    <dataValidation sqref="B20" showDropDown="0" showInputMessage="0" showErrorMessage="0" allowBlank="0" type="list">
      <formula1>"EVET,HAYIR"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</cols>
  <sheetData>
    <row r="1">
      <c r="A1" s="13" t="inlineStr">
        <is>
          <t>AGREGA ÖZELLİKLERİ VE BİRİM AĞIRLIKLAR</t>
        </is>
      </c>
    </row>
    <row r="3">
      <c r="A3" s="2" t="inlineStr">
        <is>
          <t>AGREGA TANE SINIFLARI</t>
        </is>
      </c>
    </row>
    <row r="4">
      <c r="A4" s="19" t="inlineStr">
        <is>
          <t>Tane Sınıfı</t>
        </is>
      </c>
      <c r="B4" s="19" t="inlineStr">
        <is>
          <t>Kısaltma</t>
        </is>
      </c>
      <c r="C4" s="19" t="inlineStr">
        <is>
          <t>Yoğunluk
(ρa)
kg/dm³</t>
        </is>
      </c>
      <c r="D4" s="19" t="inlineStr">
        <is>
          <t>Su Emme
(Se)
%</t>
        </is>
      </c>
      <c r="E4" s="19" t="inlineStr">
        <is>
          <t>Rutubet
(R)
%</t>
        </is>
      </c>
      <c r="F4" s="19" t="inlineStr">
        <is>
          <t>Se-R
%</t>
        </is>
      </c>
      <c r="G4" s="19" t="inlineStr">
        <is>
          <t>Gevşek Yığın
kg/m³</t>
        </is>
      </c>
      <c r="H4" s="19" t="inlineStr">
        <is>
          <t>Sıkışık Yığın
kg/m³</t>
        </is>
      </c>
    </row>
    <row r="5">
      <c r="A5" s="15" t="inlineStr">
        <is>
          <t>0/4 mm</t>
        </is>
      </c>
      <c r="B5" s="20" t="inlineStr">
        <is>
          <t>İnce Agrega</t>
        </is>
      </c>
      <c r="C5" s="21" t="inlineStr">
        <is>
          <t>2.65</t>
        </is>
      </c>
      <c r="D5" s="21" t="inlineStr">
        <is>
          <t>1.6</t>
        </is>
      </c>
      <c r="E5" s="21" t="inlineStr">
        <is>
          <t>3.4</t>
        </is>
      </c>
      <c r="F5" s="22">
        <f>D5-E5</f>
        <v/>
      </c>
      <c r="G5" s="23" t="inlineStr">
        <is>
          <t>1480</t>
        </is>
      </c>
      <c r="H5" s="23" t="inlineStr">
        <is>
          <t>1620</t>
        </is>
      </c>
    </row>
    <row r="6">
      <c r="A6" s="15" t="inlineStr">
        <is>
          <t>4/11.2 mm</t>
        </is>
      </c>
      <c r="B6" s="20" t="inlineStr">
        <is>
          <t>İnce Çakıl</t>
        </is>
      </c>
      <c r="C6" s="21" t="inlineStr">
        <is>
          <t>2.78</t>
        </is>
      </c>
      <c r="D6" s="21" t="inlineStr">
        <is>
          <t>0.8</t>
        </is>
      </c>
      <c r="E6" s="21" t="inlineStr">
        <is>
          <t>1.2</t>
        </is>
      </c>
      <c r="F6" s="22">
        <f>D6-E6</f>
        <v/>
      </c>
      <c r="G6" s="23" t="inlineStr">
        <is>
          <t>1520</t>
        </is>
      </c>
      <c r="H6" s="23" t="inlineStr">
        <is>
          <t>1650</t>
        </is>
      </c>
    </row>
    <row r="7">
      <c r="A7" s="15" t="inlineStr">
        <is>
          <t>11.2/22.4 mm</t>
        </is>
      </c>
      <c r="B7" s="20" t="inlineStr">
        <is>
          <t>Orta Çakıl</t>
        </is>
      </c>
      <c r="C7" s="21" t="inlineStr">
        <is>
          <t>2.78</t>
        </is>
      </c>
      <c r="D7" s="21" t="inlineStr">
        <is>
          <t>0.4</t>
        </is>
      </c>
      <c r="E7" s="21" t="inlineStr">
        <is>
          <t>1.1</t>
        </is>
      </c>
      <c r="F7" s="22">
        <f>D7-E7</f>
        <v/>
      </c>
      <c r="G7" s="23" t="inlineStr">
        <is>
          <t>1530</t>
        </is>
      </c>
      <c r="H7" s="23" t="inlineStr">
        <is>
          <t>1660</t>
        </is>
      </c>
    </row>
    <row r="8">
      <c r="A8" s="15" t="inlineStr">
        <is>
          <t>22.4/31.5 mm</t>
        </is>
      </c>
      <c r="B8" s="20" t="inlineStr">
        <is>
          <t>İri Çakıl</t>
        </is>
      </c>
      <c r="C8" s="21" t="inlineStr">
        <is>
          <t>2.78</t>
        </is>
      </c>
      <c r="D8" s="21" t="inlineStr">
        <is>
          <t>0.4</t>
        </is>
      </c>
      <c r="E8" s="21" t="inlineStr">
        <is>
          <t>0.8</t>
        </is>
      </c>
      <c r="F8" s="22">
        <f>D8-E8</f>
        <v/>
      </c>
      <c r="G8" s="23" t="inlineStr">
        <is>
          <t>1550</t>
        </is>
      </c>
      <c r="H8" s="23" t="inlineStr">
        <is>
          <t>1680</t>
        </is>
      </c>
    </row>
    <row r="11">
      <c r="A11" s="2" t="inlineStr">
        <is>
          <t>EN BÜYÜK AGREGA BOYUTU (Dmax)</t>
        </is>
      </c>
    </row>
    <row r="12">
      <c r="A12" s="3" t="inlineStr">
        <is>
          <t>Seçilen Dmax:</t>
        </is>
      </c>
      <c r="C12" s="6" t="inlineStr">
        <is>
          <t>31.5</t>
        </is>
      </c>
      <c r="D12" t="inlineStr">
        <is>
          <t>mm</t>
        </is>
      </c>
    </row>
    <row r="13">
      <c r="A13" s="3" t="inlineStr">
        <is>
          <t>Pompa İç Çap / 3:</t>
        </is>
      </c>
      <c r="C13" s="24">
        <f>'1-Kontrol Paneli'!C19/3</f>
        <v/>
      </c>
      <c r="D13" t="inlineStr">
        <is>
          <t>mm</t>
        </is>
      </c>
    </row>
    <row r="14">
      <c r="A14" s="3" t="inlineStr">
        <is>
          <t>Kontrol:</t>
        </is>
      </c>
      <c r="C14" s="25">
        <f>IF(C12&lt;=C13,"✓ UYGUN","✗ Dmax çok büyük")</f>
        <v/>
      </c>
    </row>
    <row r="17">
      <c r="A17" s="2" t="inlineStr">
        <is>
          <t>METİLEN MAVİSİ TESTİ (TS EN 933-9)</t>
        </is>
      </c>
    </row>
    <row r="18">
      <c r="A18" s="11" t="inlineStr">
        <is>
          <t>Agrega</t>
        </is>
      </c>
      <c r="B18" s="11" t="inlineStr">
        <is>
          <t>MB Değeri
(g/kg)</t>
        </is>
      </c>
      <c r="C18" s="11" t="inlineStr">
        <is>
          <t>Değerlendirme</t>
        </is>
      </c>
      <c r="D18" s="11" t="inlineStr">
        <is>
          <t>Sonuç</t>
        </is>
      </c>
    </row>
    <row r="19">
      <c r="A19" s="20" t="inlineStr">
        <is>
          <t>0/4 mm İnce Agrega</t>
        </is>
      </c>
      <c r="B19" s="26" t="inlineStr">
        <is>
          <t>0.8</t>
        </is>
      </c>
      <c r="C19" s="20">
        <f>IF(B19&lt;=1.0,"Temiz","İnce malzeme yüksek")</f>
        <v/>
      </c>
      <c r="D19" s="27">
        <f>IF(B19&lt;=1.0,"✓","✗")</f>
        <v/>
      </c>
    </row>
    <row r="20">
      <c r="A20" s="20" t="inlineStr">
        <is>
          <t>4/11.2 mm İnce Çakıl</t>
        </is>
      </c>
      <c r="B20" s="26" t="inlineStr">
        <is>
          <t>0.5</t>
        </is>
      </c>
      <c r="C20" s="20">
        <f>IF(B20&lt;=1.0,"Temiz","İnce malzeme yüksek")</f>
        <v/>
      </c>
      <c r="D20" s="27">
        <f>IF(B20&lt;=1.0,"✓","✗")</f>
        <v/>
      </c>
    </row>
    <row r="21">
      <c r="A21" s="20" t="inlineStr">
        <is>
          <t>11.2/22.4 mm Orta Çakıl</t>
        </is>
      </c>
      <c r="B21" s="26" t="inlineStr">
        <is>
          <t>0.3</t>
        </is>
      </c>
      <c r="C21" s="20">
        <f>IF(B21&lt;=1.0,"Temiz","İnce malzeme yüksek")</f>
        <v/>
      </c>
      <c r="D21" s="27">
        <f>IF(B21&lt;=1.0,"✓","✗")</f>
        <v/>
      </c>
    </row>
  </sheetData>
  <mergeCells count="5">
    <mergeCell ref="A1:J1"/>
    <mergeCell ref="A17:J17"/>
    <mergeCell ref="A3:J3"/>
    <mergeCell ref="C14:F14"/>
    <mergeCell ref="A11:J11"/>
  </mergeCells>
  <dataValidations count="1">
    <dataValidation sqref="C12" showDropDown="0" showInputMessage="0" showErrorMessage="0" allowBlank="0" type="list">
      <formula1>"8,11.2,16,22.4,31.5,45,63"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ELEK ANALİZİ - İNCE AGREGA (0/4 mm)</t>
        </is>
      </c>
    </row>
    <row r="3">
      <c r="A3" s="19" t="inlineStr">
        <is>
          <t>Elek
(mm)</t>
        </is>
      </c>
      <c r="B3" s="19" t="inlineStr">
        <is>
          <t>Kalan
(g)</t>
        </is>
      </c>
      <c r="C3" s="19" t="inlineStr">
        <is>
          <t>Kalan
%</t>
        </is>
      </c>
      <c r="D3" s="19" t="inlineStr">
        <is>
          <t>Birikimli
Kalan %</t>
        </is>
      </c>
      <c r="E3" s="19" t="inlineStr">
        <is>
          <t>Geçen
%</t>
        </is>
      </c>
      <c r="F3" s="19" t="inlineStr">
        <is>
          <t>Pompa
Min %</t>
        </is>
      </c>
      <c r="G3" s="19" t="inlineStr">
        <is>
          <t>Pompa
Max %</t>
        </is>
      </c>
      <c r="H3" s="19" t="inlineStr">
        <is>
          <t>Durum</t>
        </is>
      </c>
    </row>
    <row r="4">
      <c r="A4" s="28" t="n">
        <v>8</v>
      </c>
      <c r="B4" s="29" t="n"/>
      <c r="C4" s="30">
        <f>B4/$B$14*100</f>
        <v/>
      </c>
      <c r="D4" s="30">
        <f>SUM($C$4:C4)</f>
        <v/>
      </c>
      <c r="E4" s="30">
        <f>100-D4</f>
        <v/>
      </c>
      <c r="F4" s="31" t="n">
        <v>100</v>
      </c>
      <c r="G4" s="31" t="n">
        <v>100</v>
      </c>
      <c r="H4" s="32">
        <f>IF(AND(E4&gt;=100,E4&lt;=100),"✓","✗")</f>
        <v/>
      </c>
    </row>
    <row r="5">
      <c r="A5" s="28" t="n">
        <v>5.6</v>
      </c>
      <c r="B5" s="29" t="n"/>
      <c r="C5" s="30">
        <f>B5/$B$14*100</f>
        <v/>
      </c>
      <c r="D5" s="30">
        <f>SUM($C$4:C5)</f>
        <v/>
      </c>
      <c r="E5" s="30">
        <f>100-D5</f>
        <v/>
      </c>
      <c r="F5" s="31" t="n">
        <v>95</v>
      </c>
      <c r="G5" s="31" t="n">
        <v>100</v>
      </c>
      <c r="H5" s="32">
        <f>IF(AND(E5&gt;=95,E5&lt;=100),"✓","✗")</f>
        <v/>
      </c>
    </row>
    <row r="6">
      <c r="A6" s="28" t="n">
        <v>4</v>
      </c>
      <c r="B6" s="29" t="n"/>
      <c r="C6" s="30">
        <f>B6/$B$14*100</f>
        <v/>
      </c>
      <c r="D6" s="30">
        <f>SUM($C$4:C6)</f>
        <v/>
      </c>
      <c r="E6" s="30">
        <f>100-D6</f>
        <v/>
      </c>
      <c r="F6" s="31" t="n">
        <v>85</v>
      </c>
      <c r="G6" s="31" t="n">
        <v>98</v>
      </c>
      <c r="H6" s="32">
        <f>IF(AND(E6&gt;=85,E6&lt;=98),"✓","✗")</f>
        <v/>
      </c>
    </row>
    <row r="7">
      <c r="A7" s="28" t="n">
        <v>2</v>
      </c>
      <c r="B7" s="29" t="n"/>
      <c r="C7" s="30">
        <f>B7/$B$14*100</f>
        <v/>
      </c>
      <c r="D7" s="30">
        <f>SUM($C$4:C7)</f>
        <v/>
      </c>
      <c r="E7" s="30">
        <f>100-D7</f>
        <v/>
      </c>
      <c r="F7" s="31" t="n">
        <v>69</v>
      </c>
      <c r="G7" s="31" t="n">
        <v>90</v>
      </c>
      <c r="H7" s="32">
        <f>IF(AND(E7&gt;=69,E7&lt;=90),"✓","✗")</f>
        <v/>
      </c>
    </row>
    <row r="8">
      <c r="A8" s="28" t="n">
        <v>1</v>
      </c>
      <c r="B8" s="29" t="n"/>
      <c r="C8" s="30">
        <f>B8/$B$14*100</f>
        <v/>
      </c>
      <c r="D8" s="30">
        <f>SUM($C$4:C8)</f>
        <v/>
      </c>
      <c r="E8" s="30">
        <f>100-D8</f>
        <v/>
      </c>
      <c r="F8" s="31" t="n">
        <v>44</v>
      </c>
      <c r="G8" s="31" t="n">
        <v>74</v>
      </c>
      <c r="H8" s="32">
        <f>IF(AND(E8&gt;=44,E8&lt;=74),"✓","✗")</f>
        <v/>
      </c>
    </row>
    <row r="9">
      <c r="A9" s="28" t="n">
        <v>0.5</v>
      </c>
      <c r="B9" s="29" t="n"/>
      <c r="C9" s="30">
        <f>B9/$B$14*100</f>
        <v/>
      </c>
      <c r="D9" s="30">
        <f>SUM($C$4:C9)</f>
        <v/>
      </c>
      <c r="E9" s="30">
        <f>100-D9</f>
        <v/>
      </c>
      <c r="F9" s="31" t="n">
        <v>20</v>
      </c>
      <c r="G9" s="31" t="n">
        <v>50</v>
      </c>
      <c r="H9" s="32">
        <f>IF(AND(E9&gt;=20,E9&lt;=50),"✓","✗")</f>
        <v/>
      </c>
    </row>
    <row r="10">
      <c r="A10" s="28" t="n">
        <v>0.25</v>
      </c>
      <c r="B10" s="29" t="n"/>
      <c r="C10" s="30">
        <f>B10/$B$14*100</f>
        <v/>
      </c>
      <c r="D10" s="30">
        <f>SUM($C$4:C10)</f>
        <v/>
      </c>
      <c r="E10" s="30">
        <f>100-D10</f>
        <v/>
      </c>
      <c r="F10" s="31" t="n">
        <v>8</v>
      </c>
      <c r="G10" s="31" t="n">
        <v>25</v>
      </c>
      <c r="H10" s="32">
        <f>IF(AND(E10&gt;=8,E10&lt;=25),"✓","✗")</f>
        <v/>
      </c>
    </row>
    <row r="11">
      <c r="A11" s="28" t="n">
        <v>0.15</v>
      </c>
      <c r="B11" s="29" t="n"/>
      <c r="C11" s="30">
        <f>B11/$B$14*100</f>
        <v/>
      </c>
      <c r="D11" s="30">
        <f>SUM($C$4:C11)</f>
        <v/>
      </c>
      <c r="E11" s="30">
        <f>100-D11</f>
        <v/>
      </c>
      <c r="F11" s="31" t="n">
        <v>3</v>
      </c>
      <c r="G11" s="31" t="n">
        <v>10</v>
      </c>
      <c r="H11" s="32">
        <f>IF(AND(E11&gt;=3,E11&lt;=10),"✓","✗")</f>
        <v/>
      </c>
    </row>
    <row r="12">
      <c r="A12" s="28" t="n">
        <v>0.063</v>
      </c>
      <c r="B12" s="29" t="n"/>
      <c r="C12" s="30">
        <f>B12/$B$14*100</f>
        <v/>
      </c>
      <c r="D12" s="30">
        <f>SUM($C$4:C12)</f>
        <v/>
      </c>
      <c r="E12" s="30">
        <f>100-D12</f>
        <v/>
      </c>
      <c r="F12" s="31" t="n">
        <v>0</v>
      </c>
      <c r="G12" s="31" t="n">
        <v>3</v>
      </c>
      <c r="H12" s="32">
        <f>IF(AND(E12&gt;=0,E12&lt;=3),"✓","✗")</f>
        <v/>
      </c>
    </row>
    <row r="13">
      <c r="A13" s="28" t="inlineStr">
        <is>
          <t>Tava</t>
        </is>
      </c>
      <c r="B13" s="29" t="n"/>
      <c r="C13" s="30">
        <f>B13/$B$14*100</f>
        <v/>
      </c>
      <c r="D13" s="30">
        <f>SUM($C$4:C13)</f>
        <v/>
      </c>
      <c r="E13" s="30">
        <f>100-D13</f>
        <v/>
      </c>
      <c r="F13" s="31" t="n">
        <v>0</v>
      </c>
      <c r="G13" s="31" t="n">
        <v>0</v>
      </c>
      <c r="H13" s="32">
        <f>IF(AND(E13&gt;=0,E13&lt;=0),"✓","✗")</f>
        <v/>
      </c>
    </row>
    <row r="14">
      <c r="A14" s="11" t="inlineStr">
        <is>
          <t>TOPLAM</t>
        </is>
      </c>
      <c r="B14" s="33">
        <f>SUM(B4:B13)</f>
        <v/>
      </c>
    </row>
    <row r="16">
      <c r="A16" s="3" t="inlineStr">
        <is>
          <t>İncelik Modülü:</t>
        </is>
      </c>
      <c r="C16" s="34">
        <f>SUM(D4:D12)/100</f>
        <v/>
      </c>
      <c r="D16" s="35" t="inlineStr">
        <is>
          <t>(2.3-3.1 arası olmalı)</t>
        </is>
      </c>
    </row>
    <row r="17">
      <c r="A17" s="3" t="inlineStr">
        <is>
          <t>Çok İnce (&lt;0.063):</t>
        </is>
      </c>
      <c r="C17" s="36">
        <f>B12/$B$14*100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ELEK ANALİZİ - KABA AGREGA 1 (4/11.2 mm)</t>
        </is>
      </c>
    </row>
    <row r="3">
      <c r="A3" s="19" t="inlineStr">
        <is>
          <t>Elek (mm)</t>
        </is>
      </c>
      <c r="B3" s="19" t="inlineStr">
        <is>
          <t>Kalan (g)</t>
        </is>
      </c>
      <c r="C3" s="19" t="inlineStr">
        <is>
          <t>Kalan %</t>
        </is>
      </c>
      <c r="D3" s="19" t="inlineStr">
        <is>
          <t>Birikimli %</t>
        </is>
      </c>
      <c r="E3" s="19" t="inlineStr">
        <is>
          <t>Geçen %</t>
        </is>
      </c>
    </row>
    <row r="4">
      <c r="A4" s="28" t="n">
        <v>16</v>
      </c>
      <c r="B4" s="29" t="n"/>
      <c r="C4" s="30">
        <f>B4/$B$11*100</f>
        <v/>
      </c>
      <c r="D4" s="30">
        <f>SUM($C$4:C4)</f>
        <v/>
      </c>
      <c r="E4" s="30">
        <f>100-D4</f>
        <v/>
      </c>
    </row>
    <row r="5">
      <c r="A5" s="28" t="n">
        <v>11.2</v>
      </c>
      <c r="B5" s="29" t="n"/>
      <c r="C5" s="30">
        <f>B5/$B$11*100</f>
        <v/>
      </c>
      <c r="D5" s="30">
        <f>SUM($C$4:C5)</f>
        <v/>
      </c>
      <c r="E5" s="30">
        <f>100-D5</f>
        <v/>
      </c>
    </row>
    <row r="6">
      <c r="A6" s="28" t="n">
        <v>8</v>
      </c>
      <c r="B6" s="29" t="n"/>
      <c r="C6" s="30">
        <f>B6/$B$11*100</f>
        <v/>
      </c>
      <c r="D6" s="30">
        <f>SUM($C$4:C6)</f>
        <v/>
      </c>
      <c r="E6" s="30">
        <f>100-D6</f>
        <v/>
      </c>
    </row>
    <row r="7">
      <c r="A7" s="28" t="n">
        <v>4</v>
      </c>
      <c r="B7" s="29" t="n"/>
      <c r="C7" s="30">
        <f>B7/$B$11*100</f>
        <v/>
      </c>
      <c r="D7" s="30">
        <f>SUM($C$4:C7)</f>
        <v/>
      </c>
      <c r="E7" s="30">
        <f>100-D7</f>
        <v/>
      </c>
    </row>
    <row r="8">
      <c r="A8" s="28" t="n">
        <v>2</v>
      </c>
      <c r="B8" s="29" t="n"/>
      <c r="C8" s="30">
        <f>B8/$B$11*100</f>
        <v/>
      </c>
      <c r="D8" s="30">
        <f>SUM($C$4:C8)</f>
        <v/>
      </c>
      <c r="E8" s="30">
        <f>100-D8</f>
        <v/>
      </c>
    </row>
    <row r="9">
      <c r="A9" s="28" t="n">
        <v>1</v>
      </c>
      <c r="B9" s="29" t="n"/>
      <c r="C9" s="30">
        <f>B9/$B$11*100</f>
        <v/>
      </c>
      <c r="D9" s="30">
        <f>SUM($C$4:C9)</f>
        <v/>
      </c>
      <c r="E9" s="30">
        <f>100-D9</f>
        <v/>
      </c>
    </row>
    <row r="10">
      <c r="A10" s="28" t="inlineStr">
        <is>
          <t>Tava</t>
        </is>
      </c>
      <c r="B10" s="29" t="n"/>
      <c r="C10" s="30">
        <f>B10/$B$11*100</f>
        <v/>
      </c>
      <c r="D10" s="30">
        <f>SUM($C$4:C10)</f>
        <v/>
      </c>
      <c r="E10" s="30">
        <f>100-D10</f>
        <v/>
      </c>
    </row>
    <row r="11">
      <c r="A11" s="11" t="inlineStr">
        <is>
          <t>TOPLAM</t>
        </is>
      </c>
      <c r="B11" s="33">
        <f>SUM(B4:B10)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ELEK ANALİZİ - KABA AGREGA 2 (11.2/22.4 mm)</t>
        </is>
      </c>
    </row>
    <row r="3">
      <c r="A3" s="19" t="inlineStr">
        <is>
          <t>Elek (mm)</t>
        </is>
      </c>
      <c r="B3" s="19" t="inlineStr">
        <is>
          <t>Kalan (g)</t>
        </is>
      </c>
      <c r="C3" s="19" t="inlineStr">
        <is>
          <t>Kalan %</t>
        </is>
      </c>
      <c r="D3" s="19" t="inlineStr">
        <is>
          <t>Birikimli %</t>
        </is>
      </c>
      <c r="E3" s="19" t="inlineStr">
        <is>
          <t>Geçen %</t>
        </is>
      </c>
    </row>
    <row r="4">
      <c r="A4" s="28" t="n">
        <v>31.5</v>
      </c>
      <c r="B4" s="29" t="n"/>
      <c r="C4" s="30">
        <f>B4/$B$11*100</f>
        <v/>
      </c>
      <c r="D4" s="30">
        <f>SUM($C$4:C4)</f>
        <v/>
      </c>
      <c r="E4" s="30">
        <f>100-D4</f>
        <v/>
      </c>
    </row>
    <row r="5">
      <c r="A5" s="28" t="n">
        <v>22.4</v>
      </c>
      <c r="B5" s="29" t="n"/>
      <c r="C5" s="30">
        <f>B5/$B$11*100</f>
        <v/>
      </c>
      <c r="D5" s="30">
        <f>SUM($C$4:C5)</f>
        <v/>
      </c>
      <c r="E5" s="30">
        <f>100-D5</f>
        <v/>
      </c>
    </row>
    <row r="6">
      <c r="A6" s="28" t="n">
        <v>16</v>
      </c>
      <c r="B6" s="29" t="n"/>
      <c r="C6" s="30">
        <f>B6/$B$11*100</f>
        <v/>
      </c>
      <c r="D6" s="30">
        <f>SUM($C$4:C6)</f>
        <v/>
      </c>
      <c r="E6" s="30">
        <f>100-D6</f>
        <v/>
      </c>
    </row>
    <row r="7">
      <c r="A7" s="28" t="n">
        <v>11.2</v>
      </c>
      <c r="B7" s="29" t="n"/>
      <c r="C7" s="30">
        <f>B7/$B$11*100</f>
        <v/>
      </c>
      <c r="D7" s="30">
        <f>SUM($C$4:C7)</f>
        <v/>
      </c>
      <c r="E7" s="30">
        <f>100-D7</f>
        <v/>
      </c>
    </row>
    <row r="8">
      <c r="A8" s="28" t="n">
        <v>8</v>
      </c>
      <c r="B8" s="29" t="n"/>
      <c r="C8" s="30">
        <f>B8/$B$11*100</f>
        <v/>
      </c>
      <c r="D8" s="30">
        <f>SUM($C$4:C8)</f>
        <v/>
      </c>
      <c r="E8" s="30">
        <f>100-D8</f>
        <v/>
      </c>
    </row>
    <row r="9">
      <c r="A9" s="28" t="n">
        <v>4</v>
      </c>
      <c r="B9" s="29" t="n"/>
      <c r="C9" s="30">
        <f>B9/$B$11*100</f>
        <v/>
      </c>
      <c r="D9" s="30">
        <f>SUM($C$4:C9)</f>
        <v/>
      </c>
      <c r="E9" s="30">
        <f>100-D9</f>
        <v/>
      </c>
    </row>
    <row r="10">
      <c r="A10" s="28" t="inlineStr">
        <is>
          <t>Tava</t>
        </is>
      </c>
      <c r="B10" s="29" t="n"/>
      <c r="C10" s="30">
        <f>B10/$B$11*100</f>
        <v/>
      </c>
      <c r="D10" s="30">
        <f>SUM($C$4:C10)</f>
        <v/>
      </c>
      <c r="E10" s="30">
        <f>100-D10</f>
        <v/>
      </c>
    </row>
    <row r="11">
      <c r="A11" s="11" t="inlineStr">
        <is>
          <t>TOPLAM</t>
        </is>
      </c>
      <c r="B11" s="33">
        <f>SUM(B4:B10)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3" t="inlineStr">
        <is>
          <t>GRADASYON OPTİMİZASYONU VE KARIŞIM ORANLARI</t>
        </is>
      </c>
    </row>
    <row r="3">
      <c r="A3" s="2" t="inlineStr">
        <is>
          <t>AGREGA KARIŞIM ORANLARI</t>
        </is>
      </c>
    </row>
    <row r="4">
      <c r="A4" s="11" t="inlineStr">
        <is>
          <t>Tane Sınıfı</t>
        </is>
      </c>
      <c r="B4" s="11" t="inlineStr">
        <is>
          <t>Oran %</t>
        </is>
      </c>
      <c r="C4" s="11" t="inlineStr">
        <is>
          <t>Yoğunluk</t>
        </is>
      </c>
      <c r="D4" s="11" t="inlineStr">
        <is>
          <t>Kontrol</t>
        </is>
      </c>
    </row>
    <row r="5">
      <c r="A5" s="20" t="inlineStr">
        <is>
          <t>0/4 mm</t>
        </is>
      </c>
      <c r="B5" s="37" t="inlineStr">
        <is>
          <t>45</t>
        </is>
      </c>
      <c r="C5" s="38">
        <f>'3-Agregalar'!C5</f>
        <v/>
      </c>
      <c r="D5" s="39">
        <f>IF(B5&gt;0,"✓","-")</f>
        <v/>
      </c>
    </row>
    <row r="6">
      <c r="A6" s="20" t="inlineStr">
        <is>
          <t>4/11.2 mm</t>
        </is>
      </c>
      <c r="B6" s="37" t="inlineStr">
        <is>
          <t>25</t>
        </is>
      </c>
      <c r="C6" s="38">
        <f>'3-Agregalar'!C6</f>
        <v/>
      </c>
      <c r="D6" s="39">
        <f>IF(B6&gt;0,"✓","-")</f>
        <v/>
      </c>
    </row>
    <row r="7">
      <c r="A7" s="20" t="inlineStr">
        <is>
          <t>11.2/22.4 mm</t>
        </is>
      </c>
      <c r="B7" s="37" t="inlineStr">
        <is>
          <t>30</t>
        </is>
      </c>
      <c r="C7" s="38">
        <f>'3-Agregalar'!C7</f>
        <v/>
      </c>
      <c r="D7" s="39">
        <f>IF(B7&gt;0,"✓","-")</f>
        <v/>
      </c>
    </row>
    <row r="8">
      <c r="A8" s="20" t="inlineStr">
        <is>
          <t>22.4/31.5 mm</t>
        </is>
      </c>
      <c r="B8" s="37" t="inlineStr">
        <is>
          <t>0</t>
        </is>
      </c>
      <c r="C8" s="38">
        <f>'3-Agregalar'!C8</f>
        <v/>
      </c>
      <c r="D8" s="39">
        <f>IF(B8&gt;0,"✓","-")</f>
        <v/>
      </c>
    </row>
    <row r="9">
      <c r="A9" s="3" t="inlineStr">
        <is>
          <t>TOPLAM:</t>
        </is>
      </c>
      <c r="B9" s="40">
        <f>SUM(B5:B8)</f>
        <v/>
      </c>
      <c r="D9" s="41">
        <f>IF(B9=100,"✓ Toplam 100","✗ Toplam 100 değil")</f>
        <v/>
      </c>
      <c r="E9" s="42" t="n"/>
    </row>
    <row r="11">
      <c r="A11" s="3" t="inlineStr">
        <is>
          <t>Ağırlıklı Ort. Yoğunluk (ρa):</t>
        </is>
      </c>
      <c r="C11" s="43">
        <f>1/((B5/100/C5)+(B6/100/C6)+(B7/100/C7)+(B8/100/C8))</f>
        <v/>
      </c>
      <c r="D11" t="inlineStr">
        <is>
          <t>kg/dm³</t>
        </is>
      </c>
    </row>
    <row r="14">
      <c r="A14" s="2" t="inlineStr">
        <is>
          <t>KOMBİNE GRADASYON HESABI</t>
        </is>
      </c>
    </row>
    <row r="15">
      <c r="A15" s="19" t="inlineStr">
        <is>
          <t>Elek
(mm)</t>
        </is>
      </c>
      <c r="B15" s="19" t="inlineStr">
        <is>
          <t>0/4
Geçen %</t>
        </is>
      </c>
      <c r="C15" s="19" t="inlineStr">
        <is>
          <t>4/11.2
Geçen %</t>
        </is>
      </c>
      <c r="D15" s="19" t="inlineStr">
        <is>
          <t>11.2/22.4
Geçen %</t>
        </is>
      </c>
      <c r="E15" s="19" t="inlineStr">
        <is>
          <t>22.4/31.5
Geçen %</t>
        </is>
      </c>
      <c r="F15" s="19" t="inlineStr">
        <is>
          <t>Kombine
Geçen %</t>
        </is>
      </c>
      <c r="G15" s="19" t="inlineStr">
        <is>
          <t>Pompa
Min %</t>
        </is>
      </c>
      <c r="H15" s="19" t="inlineStr">
        <is>
          <t>Pompa
Max %</t>
        </is>
      </c>
      <c r="I15" s="19" t="inlineStr">
        <is>
          <t>Durum</t>
        </is>
      </c>
    </row>
    <row r="16">
      <c r="A16" s="31" t="n">
        <v>31.5</v>
      </c>
      <c r="B16" s="30">
        <f>'4-Elek-0-4mm'!E4</f>
        <v/>
      </c>
      <c r="C16" s="30">
        <f>'5-Elek-4-11mm'!E4</f>
        <v/>
      </c>
      <c r="D16" s="30">
        <f>'6-Elek-11-22mm'!E4</f>
        <v/>
      </c>
      <c r="E16" s="30">
        <f>IF($B$8&gt;0,100,0)</f>
        <v/>
      </c>
      <c r="F16" s="44">
        <f>B16*$B$5/100+C16*$B$6/100+D16*$B$7/100+E16*$B$8/100</f>
        <v/>
      </c>
      <c r="G16" s="31" t="n">
        <v>90</v>
      </c>
      <c r="H16" s="31" t="n">
        <v>97</v>
      </c>
      <c r="I16" s="45">
        <f>IF(AND(F16&gt;=90,F16&lt;=97),"✓","✗")</f>
        <v/>
      </c>
    </row>
    <row r="17">
      <c r="A17" s="31" t="n">
        <v>22.4</v>
      </c>
      <c r="B17" s="30">
        <f>'4-Elek-0-4mm'!E5</f>
        <v/>
      </c>
      <c r="C17" s="30">
        <f>'5-Elek-4-11mm'!E5</f>
        <v/>
      </c>
      <c r="D17" s="30">
        <f>'6-Elek-11-22mm'!E5</f>
        <v/>
      </c>
      <c r="E17" s="30">
        <f>IF($B$8&gt;0,100,0)</f>
        <v/>
      </c>
      <c r="F17" s="44">
        <f>B17*$B$5/100+C17*$B$6/100+D17*$B$7/100+E17*$B$8/100</f>
        <v/>
      </c>
      <c r="G17" s="31" t="n">
        <v>80</v>
      </c>
      <c r="H17" s="31" t="n">
        <v>90</v>
      </c>
      <c r="I17" s="45">
        <f>IF(AND(F17&gt;=80,F17&lt;=90),"✓","✗")</f>
        <v/>
      </c>
    </row>
    <row r="18">
      <c r="A18" s="31" t="n">
        <v>16</v>
      </c>
      <c r="B18" s="30">
        <f>'4-Elek-0-4mm'!E6</f>
        <v/>
      </c>
      <c r="C18" s="30">
        <f>'5-Elek-4-11mm'!E6</f>
        <v/>
      </c>
      <c r="D18" s="30">
        <f>'6-Elek-11-22mm'!E6</f>
        <v/>
      </c>
      <c r="E18" s="30">
        <f>IF($B$8&gt;0,100,0)</f>
        <v/>
      </c>
      <c r="F18" s="44">
        <f>B18*$B$5/100+C18*$B$6/100+D18*$B$7/100+E18*$B$8/100</f>
        <v/>
      </c>
      <c r="G18" s="31" t="n">
        <v>68</v>
      </c>
      <c r="H18" s="31" t="n">
        <v>82</v>
      </c>
      <c r="I18" s="45">
        <f>IF(AND(F18&gt;=68,F18&lt;=82),"✓","✗")</f>
        <v/>
      </c>
    </row>
    <row r="19">
      <c r="A19" s="31" t="n">
        <v>11.2</v>
      </c>
      <c r="B19" s="30">
        <f>'4-Elek-0-4mm'!E7</f>
        <v/>
      </c>
      <c r="C19" s="30">
        <f>'5-Elek-4-11mm'!E7</f>
        <v/>
      </c>
      <c r="D19" s="30">
        <f>'6-Elek-11-22mm'!E7</f>
        <v/>
      </c>
      <c r="E19" s="30">
        <f>IF($B$8&gt;0,100,0)</f>
        <v/>
      </c>
      <c r="F19" s="44">
        <f>B19*$B$5/100+C19*$B$6/100+D19*$B$7/100+E19*$B$8/100</f>
        <v/>
      </c>
      <c r="G19" s="31" t="n">
        <v>52</v>
      </c>
      <c r="H19" s="31" t="n">
        <v>69</v>
      </c>
      <c r="I19" s="45">
        <f>IF(AND(F19&gt;=52,F19&lt;=69),"✓","✗")</f>
        <v/>
      </c>
    </row>
    <row r="20">
      <c r="A20" s="31" t="n">
        <v>8</v>
      </c>
      <c r="B20" s="30">
        <f>'4-Elek-0-4mm'!E8</f>
        <v/>
      </c>
      <c r="C20" s="30">
        <f>'5-Elek-4-11mm'!E8</f>
        <v/>
      </c>
      <c r="D20" s="30">
        <f>'6-Elek-11-22mm'!E8</f>
        <v/>
      </c>
      <c r="E20" s="30">
        <f>IF($B$8&gt;0,100,0)</f>
        <v/>
      </c>
      <c r="F20" s="44">
        <f>B20*$B$5/100+C20*$B$6/100+D20*$B$7/100+E20*$B$8/100</f>
        <v/>
      </c>
      <c r="G20" s="31" t="n">
        <v>52</v>
      </c>
      <c r="H20" s="31" t="n">
        <v>69</v>
      </c>
      <c r="I20" s="45">
        <f>IF(AND(F20&gt;=52,F20&lt;=69),"✓","✗")</f>
        <v/>
      </c>
    </row>
    <row r="21">
      <c r="A21" s="31" t="n">
        <v>5.6</v>
      </c>
      <c r="B21" s="30">
        <f>'4-Elek-0-4mm'!E9</f>
        <v/>
      </c>
      <c r="C21" s="30">
        <f>'5-Elek-4-11mm'!E9</f>
        <v/>
      </c>
      <c r="D21" s="30">
        <f>'6-Elek-11-22mm'!E9</f>
        <v/>
      </c>
      <c r="E21" s="30">
        <f>IF($B$8&gt;0,100,0)</f>
        <v/>
      </c>
      <c r="F21" s="44">
        <f>B21*$B$5/100+C21*$B$6/100+D21*$B$7/100+E21*$B$8/100</f>
        <v/>
      </c>
      <c r="G21" s="31" t="n">
        <v>37</v>
      </c>
      <c r="H21" s="31" t="n">
        <v>56</v>
      </c>
      <c r="I21" s="45">
        <f>IF(AND(F21&gt;=37,F21&lt;=56),"✓","✗")</f>
        <v/>
      </c>
    </row>
    <row r="22">
      <c r="A22" s="31" t="n">
        <v>4</v>
      </c>
      <c r="B22" s="30">
        <f>'4-Elek-0-4mm'!E10</f>
        <v/>
      </c>
      <c r="C22" s="30">
        <f>'5-Elek-4-11mm'!E10</f>
        <v/>
      </c>
      <c r="D22" s="30">
        <f>'6-Elek-11-22mm'!E10</f>
        <v/>
      </c>
      <c r="E22" s="30">
        <f>IF($B$8&gt;0,100,0)</f>
        <v/>
      </c>
      <c r="F22" s="44">
        <f>B22*$B$5/100+C22*$B$6/100+D22*$B$7/100+E22*$B$8/100</f>
        <v/>
      </c>
      <c r="G22" s="31" t="n">
        <v>37</v>
      </c>
      <c r="H22" s="31" t="n">
        <v>56</v>
      </c>
      <c r="I22" s="45">
        <f>IF(AND(F22&gt;=37,F22&lt;=56),"✓","✗")</f>
        <v/>
      </c>
    </row>
    <row r="23">
      <c r="A23" s="31" t="n">
        <v>2</v>
      </c>
      <c r="B23" s="30">
        <f>'4-Elek-0-4mm'!E11</f>
        <v/>
      </c>
      <c r="C23" s="30">
        <f>'5-Elek-4-11mm'!E10</f>
        <v/>
      </c>
      <c r="D23" s="30">
        <f>'6-Elek-11-22mm'!E10</f>
        <v/>
      </c>
      <c r="E23" s="30">
        <f>IF($B$8&gt;0,100,0)</f>
        <v/>
      </c>
      <c r="F23" s="44">
        <f>B23*$B$5/100+C23*$B$6/100+D23*$B$7/100+E23*$B$8/100</f>
        <v/>
      </c>
      <c r="G23" s="31" t="n">
        <v>26</v>
      </c>
      <c r="H23" s="31" t="n">
        <v>43</v>
      </c>
      <c r="I23" s="45">
        <f>IF(AND(F23&gt;=26,F23&lt;=43),"✓","✗")</f>
        <v/>
      </c>
    </row>
    <row r="24">
      <c r="A24" s="31" t="n">
        <v>1</v>
      </c>
      <c r="B24" s="30">
        <f>'4-Elek-0-4mm'!E12</f>
        <v/>
      </c>
      <c r="C24" s="30">
        <f>'5-Elek-4-11mm'!E10</f>
        <v/>
      </c>
      <c r="D24" s="30">
        <f>'6-Elek-11-22mm'!E10</f>
        <v/>
      </c>
      <c r="E24" s="30">
        <f>IF($B$8&gt;0,100,0)</f>
        <v/>
      </c>
      <c r="F24" s="44">
        <f>B24*$B$5/100+C24*$B$6/100+D24*$B$7/100+E24*$B$8/100</f>
        <v/>
      </c>
      <c r="G24" s="31" t="n">
        <v>17</v>
      </c>
      <c r="H24" s="31" t="n">
        <v>33</v>
      </c>
      <c r="I24" s="45">
        <f>IF(AND(F24&gt;=17,F24&lt;=33),"✓","✗")</f>
        <v/>
      </c>
    </row>
    <row r="25">
      <c r="A25" s="31" t="n">
        <v>0.5</v>
      </c>
      <c r="B25" s="30">
        <f>'4-Elek-0-4mm'!E13</f>
        <v/>
      </c>
      <c r="C25" s="30">
        <f>'5-Elek-4-11mm'!E10</f>
        <v/>
      </c>
      <c r="D25" s="30">
        <f>'6-Elek-11-22mm'!E10</f>
        <v/>
      </c>
      <c r="E25" s="30">
        <f>IF($B$8&gt;0,100,0)</f>
        <v/>
      </c>
      <c r="F25" s="44">
        <f>B25*$B$5/100+C25*$B$6/100+D25*$B$7/100+E25*$B$8/100</f>
        <v/>
      </c>
      <c r="G25" s="31" t="n">
        <v>10</v>
      </c>
      <c r="H25" s="31" t="n">
        <v>23</v>
      </c>
      <c r="I25" s="45">
        <f>IF(AND(F25&gt;=10,F25&lt;=23),"✓","✗")</f>
        <v/>
      </c>
    </row>
    <row r="26">
      <c r="A26" s="31" t="n">
        <v>0.25</v>
      </c>
      <c r="B26" s="30">
        <f>'4-Elek-0-4mm'!E14</f>
        <v/>
      </c>
      <c r="C26" s="30">
        <f>'5-Elek-4-11mm'!E10</f>
        <v/>
      </c>
      <c r="D26" s="30">
        <f>'6-Elek-11-22mm'!E10</f>
        <v/>
      </c>
      <c r="E26" s="30">
        <f>IF($B$8&gt;0,100,0)</f>
        <v/>
      </c>
      <c r="F26" s="44">
        <f>B26*$B$5/100+C26*$B$6/100+D26*$B$7/100+E26*$B$8/100</f>
        <v/>
      </c>
      <c r="G26" s="31" t="n">
        <v>6</v>
      </c>
      <c r="H26" s="31" t="n">
        <v>16</v>
      </c>
      <c r="I26" s="45">
        <f>IF(AND(F26&gt;=6,F26&lt;=16),"✓","✗")</f>
        <v/>
      </c>
    </row>
    <row r="27">
      <c r="A27" s="31" t="n">
        <v>0.15</v>
      </c>
      <c r="B27" s="30">
        <f>'4-Elek-0-4mm'!E15</f>
        <v/>
      </c>
      <c r="C27" s="30">
        <f>'5-Elek-4-11mm'!E10</f>
        <v/>
      </c>
      <c r="D27" s="30">
        <f>'6-Elek-11-22mm'!E10</f>
        <v/>
      </c>
      <c r="E27" s="30">
        <f>IF($B$8&gt;0,100,0)</f>
        <v/>
      </c>
      <c r="F27" s="44">
        <f>B27*$B$5/100+C27*$B$6/100+D27*$B$7/100+E27*$B$8/100</f>
        <v/>
      </c>
      <c r="G27" s="31" t="n">
        <v>3</v>
      </c>
      <c r="H27" s="31" t="n">
        <v>10</v>
      </c>
      <c r="I27" s="45">
        <f>IF(AND(F27&gt;=3,F27&lt;=10),"✓","✗")</f>
        <v/>
      </c>
    </row>
    <row r="28">
      <c r="A28" s="31" t="n">
        <v>0.063</v>
      </c>
      <c r="B28" s="30">
        <f>'4-Elek-0-4mm'!E16</f>
        <v/>
      </c>
      <c r="C28" s="30">
        <f>'5-Elek-4-11mm'!E10</f>
        <v/>
      </c>
      <c r="D28" s="30">
        <f>'6-Elek-11-22mm'!E10</f>
        <v/>
      </c>
      <c r="E28" s="30">
        <f>IF($B$8&gt;0,100,0)</f>
        <v/>
      </c>
      <c r="F28" s="44">
        <f>B28*$B$5/100+C28*$B$6/100+D28*$B$7/100+E28*$B$8/100</f>
        <v/>
      </c>
      <c r="G28" s="31" t="n">
        <v>1</v>
      </c>
      <c r="H28" s="31" t="n">
        <v>5</v>
      </c>
      <c r="I28" s="45">
        <f>IF(AND(F28&gt;=1,F28&lt;=5),"✓","✗")</f>
        <v/>
      </c>
    </row>
  </sheetData>
  <mergeCells count="5">
    <mergeCell ref="A11:B11"/>
    <mergeCell ref="A14:K14"/>
    <mergeCell ref="D9:E9"/>
    <mergeCell ref="A1:K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3" max="3"/>
  </cols>
  <sheetData>
    <row r="1">
      <c r="A1" s="13" t="inlineStr">
        <is>
          <t>BETON KARIŞIM HESABI (1 m³ - DKY)</t>
        </is>
      </c>
    </row>
    <row r="3">
      <c r="A3" s="3" t="inlineStr">
        <is>
          <t>Hedef s/ç:</t>
        </is>
      </c>
      <c r="C3" s="4" t="inlineStr">
        <is>
          <t>0.48</t>
        </is>
      </c>
    </row>
    <row r="4">
      <c r="A4" t="inlineStr">
        <is>
          <t>Şartname Max s/ç:</t>
        </is>
      </c>
      <c r="C4" s="46">
        <f>'1-Kontrol Paneli'!C14</f>
        <v/>
      </c>
    </row>
    <row r="5">
      <c r="A5" t="inlineStr">
        <is>
          <t>Seçilen s/ç:</t>
        </is>
      </c>
      <c r="C5" s="7">
        <f>MIN(C3,C4)</f>
        <v/>
      </c>
    </row>
    <row r="7">
      <c r="A7" t="inlineStr">
        <is>
          <t>Karışım Suyu:</t>
        </is>
      </c>
      <c r="C7" s="4" t="inlineStr">
        <is>
          <t>175</t>
        </is>
      </c>
      <c r="D7" t="inlineStr">
        <is>
          <t>kg</t>
        </is>
      </c>
    </row>
    <row r="9">
      <c r="A9" t="inlineStr">
        <is>
          <t>Çimento:</t>
        </is>
      </c>
      <c r="C9" s="47">
        <f>C7/C5</f>
        <v/>
      </c>
    </row>
    <row r="10">
      <c r="A10" t="inlineStr">
        <is>
          <t>Min Çimento:</t>
        </is>
      </c>
      <c r="C10" s="46">
        <f>'1-Kontrol Paneli'!G14</f>
        <v/>
      </c>
    </row>
    <row r="11">
      <c r="A11" t="inlineStr">
        <is>
          <t>Kullanılacak:</t>
        </is>
      </c>
      <c r="C11" s="48">
        <f>MAX(C9,C10)</f>
        <v/>
      </c>
      <c r="D11" t="inlineStr">
        <is>
          <t>kg</t>
        </is>
      </c>
    </row>
    <row r="13">
      <c r="A13" t="inlineStr">
        <is>
          <t>Kimyasal Katkı:</t>
        </is>
      </c>
      <c r="C13" s="49">
        <f>C11*'2-Malzemeler'!B14/100</f>
        <v/>
      </c>
    </row>
    <row r="14">
      <c r="A14" t="inlineStr">
        <is>
          <t>Hava %:</t>
        </is>
      </c>
      <c r="C14" s="46">
        <f>'1-Kontrol Paneli'!K14</f>
        <v/>
      </c>
    </row>
    <row r="16">
      <c r="A16" t="inlineStr">
        <is>
          <t>Çimento Hacmi:</t>
        </is>
      </c>
      <c r="C16" s="50">
        <f>C11/'2-Malzemeler'!B6</f>
        <v/>
      </c>
    </row>
    <row r="17">
      <c r="A17" t="inlineStr">
        <is>
          <t>Su Hacmi:</t>
        </is>
      </c>
      <c r="C17">
        <f>C7</f>
        <v/>
      </c>
    </row>
    <row r="18">
      <c r="A18" t="inlineStr">
        <is>
          <t>Kimyasal Hacmi:</t>
        </is>
      </c>
      <c r="C18" s="50">
        <f>C13/'2-Malzemeler'!B13</f>
        <v/>
      </c>
    </row>
    <row r="19">
      <c r="A19" t="inlineStr">
        <is>
          <t>Hava Hacmi:</t>
        </is>
      </c>
      <c r="C19" s="50">
        <f>IF(ISNUMBER(C14),C14*10,0)</f>
        <v/>
      </c>
    </row>
    <row r="21">
      <c r="A21" t="inlineStr">
        <is>
          <t>Agrega Hacmi:</t>
        </is>
      </c>
      <c r="C21" s="51">
        <f>1000-SUM(C16:C19)</f>
        <v/>
      </c>
    </row>
    <row r="23">
      <c r="A23" t="inlineStr">
        <is>
          <t>Ağırlıklı Yoğunluk:</t>
        </is>
      </c>
      <c r="C23" s="52">
        <f>'7-Gradasyon'!C11</f>
        <v/>
      </c>
    </row>
    <row r="24">
      <c r="A24" t="inlineStr">
        <is>
          <t>Toplam Agrega:</t>
        </is>
      </c>
      <c r="C24" s="51">
        <f>C21*C23</f>
        <v/>
      </c>
    </row>
    <row r="26">
      <c r="A26" t="inlineStr">
        <is>
          <t>0/4 mm:</t>
        </is>
      </c>
      <c r="C26" s="53">
        <f>C24*'7-Gradasyon'!B5/100</f>
        <v/>
      </c>
    </row>
    <row r="27">
      <c r="A27" t="inlineStr">
        <is>
          <t>4/11.2 mm:</t>
        </is>
      </c>
      <c r="C27" s="53">
        <f>C24*'7-Gradasyon'!B6/100</f>
        <v/>
      </c>
    </row>
    <row r="28">
      <c r="A28" t="inlineStr">
        <is>
          <t>11.2/22.4 mm:</t>
        </is>
      </c>
      <c r="C28" s="53">
        <f>C24*'7-Gradasyon'!B7/100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DÜZELTİLMİŞ REÇETE (Rutubet Düzeltmeli)</t>
        </is>
      </c>
    </row>
    <row r="3">
      <c r="A3" s="54" t="inlineStr">
        <is>
          <t>Agrega</t>
        </is>
      </c>
      <c r="B3" s="54" t="inlineStr">
        <is>
          <t>DKY (kg)</t>
        </is>
      </c>
      <c r="C3" s="54" t="inlineStr">
        <is>
          <t>Se-R</t>
        </is>
      </c>
      <c r="D3" s="54" t="inlineStr">
        <is>
          <t>Düzeltme</t>
        </is>
      </c>
      <c r="E3" s="54" t="inlineStr">
        <is>
          <t>Rutubetli</t>
        </is>
      </c>
    </row>
    <row r="4">
      <c r="A4" t="inlineStr">
        <is>
          <t>0/4</t>
        </is>
      </c>
      <c r="B4" s="50">
        <f>'8-Reçete DKY'!C27</f>
        <v/>
      </c>
      <c r="C4" s="50">
        <f>'3-Agregalar'!F5</f>
        <v/>
      </c>
      <c r="D4" s="50">
        <f>B4*C4/100</f>
        <v/>
      </c>
      <c r="E4" s="51">
        <f>B4-D4</f>
        <v/>
      </c>
    </row>
    <row r="5">
      <c r="A5" t="inlineStr">
        <is>
          <t>4/11.2</t>
        </is>
      </c>
      <c r="B5" s="50">
        <f>'8-Reçete DKY'!C28</f>
        <v/>
      </c>
      <c r="C5" s="50">
        <f>'3-Agregalar'!F6</f>
        <v/>
      </c>
      <c r="D5" s="50">
        <f>B5*C5/100</f>
        <v/>
      </c>
      <c r="E5" s="51">
        <f>B5-D5</f>
        <v/>
      </c>
    </row>
    <row r="6">
      <c r="A6" t="inlineStr">
        <is>
          <t>11.2/22.4</t>
        </is>
      </c>
      <c r="B6" s="50">
        <f>'8-Reçete DKY'!C29</f>
        <v/>
      </c>
      <c r="C6" s="50">
        <f>'3-Agregalar'!F7</f>
        <v/>
      </c>
      <c r="D6" s="50">
        <f>B6*C6/100</f>
        <v/>
      </c>
      <c r="E6" s="51">
        <f>B6-D6</f>
        <v/>
      </c>
    </row>
    <row r="8">
      <c r="A8" t="inlineStr">
        <is>
          <t>DKY Su:</t>
        </is>
      </c>
      <c r="C8">
        <f>'8-Reçete DKY'!C7</f>
        <v/>
      </c>
    </row>
    <row r="9">
      <c r="A9" t="inlineStr">
        <is>
          <t>Su Düzeltme:</t>
        </is>
      </c>
      <c r="C9">
        <f>SUM(D4:D6)</f>
        <v/>
      </c>
    </row>
    <row r="10">
      <c r="A10" t="inlineStr">
        <is>
          <t>Katkı Suyu /2:</t>
        </is>
      </c>
      <c r="C10">
        <f>'8-Reçete DKY'!C13/2</f>
        <v/>
      </c>
    </row>
    <row r="11">
      <c r="A11" t="inlineStr">
        <is>
          <t>Final Su:</t>
        </is>
      </c>
      <c r="C11" s="55">
        <f>C8+C9-C10</f>
        <v/>
      </c>
    </row>
    <row r="14">
      <c r="A14" s="2" t="inlineStr">
        <is>
          <t>FİNAL REÇETE (1 m³)</t>
        </is>
      </c>
    </row>
    <row r="15">
      <c r="A15" s="3" t="inlineStr">
        <is>
          <t>Çimento</t>
        </is>
      </c>
      <c r="C15" s="8">
        <f>'8-Reçete DKY'!C11</f>
        <v/>
      </c>
    </row>
    <row r="16">
      <c r="A16" s="3" t="inlineStr">
        <is>
          <t>Su</t>
        </is>
      </c>
      <c r="C16" s="8">
        <f>C11</f>
        <v/>
      </c>
    </row>
    <row r="17">
      <c r="A17" s="3" t="inlineStr">
        <is>
          <t>Kimyasal Katkı</t>
        </is>
      </c>
      <c r="C17" s="8">
        <f>'8-Reçete DKY'!C13</f>
        <v/>
      </c>
    </row>
    <row r="18">
      <c r="A18" s="3" t="inlineStr">
        <is>
          <t>0/4 mm</t>
        </is>
      </c>
      <c r="C18" s="8">
        <f>E4</f>
        <v/>
      </c>
    </row>
    <row r="19">
      <c r="A19" s="3" t="inlineStr">
        <is>
          <t>4/11.2 mm</t>
        </is>
      </c>
      <c r="C19" s="8">
        <f>E5</f>
        <v/>
      </c>
    </row>
    <row r="20">
      <c r="A20" s="3" t="inlineStr">
        <is>
          <t>11.2/22.4 mm</t>
        </is>
      </c>
      <c r="C20" s="8">
        <f>E6</f>
        <v/>
      </c>
    </row>
    <row r="21">
      <c r="A21" s="3" t="inlineStr">
        <is>
          <t>TOPLAM</t>
        </is>
      </c>
      <c r="C21" s="56">
        <f>SUM(C15:C20)</f>
        <v/>
      </c>
    </row>
  </sheetData>
  <mergeCells count="2">
    <mergeCell ref="A14:C14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3" max="3"/>
  </cols>
  <sheetData>
    <row r="1">
      <c r="A1" s="13" t="inlineStr">
        <is>
          <t>DENEME DÖKÜMÜ</t>
        </is>
      </c>
    </row>
    <row r="3">
      <c r="A3" s="2" t="inlineStr">
        <is>
          <t>25 Litre Deneme</t>
        </is>
      </c>
    </row>
    <row r="4">
      <c r="A4" t="inlineStr">
        <is>
          <t>Çimento</t>
        </is>
      </c>
      <c r="C4" s="8">
        <f>'9-Reçete Rutubetli'!C14*25/1000</f>
        <v/>
      </c>
      <c r="D4" t="inlineStr">
        <is>
          <t>kg</t>
        </is>
      </c>
    </row>
    <row r="5">
      <c r="A5" t="inlineStr">
        <is>
          <t>Su</t>
        </is>
      </c>
      <c r="C5" s="8">
        <f>'9-Reçete Rutubetli'!C15*25/1000</f>
        <v/>
      </c>
      <c r="D5" t="inlineStr">
        <is>
          <t>kg</t>
        </is>
      </c>
    </row>
    <row r="6">
      <c r="A6" t="inlineStr">
        <is>
          <t>Kimyasal Katkı</t>
        </is>
      </c>
      <c r="C6" s="8">
        <f>'9-Reçete Rutubetli'!C16*25/1000</f>
        <v/>
      </c>
      <c r="D6" t="inlineStr">
        <is>
          <t>kg</t>
        </is>
      </c>
    </row>
    <row r="7">
      <c r="A7" t="inlineStr">
        <is>
          <t>0/4 mm</t>
        </is>
      </c>
      <c r="C7" s="8">
        <f>'9-Reçete Rutubetli'!C17*25/1000</f>
        <v/>
      </c>
      <c r="D7" t="inlineStr">
        <is>
          <t>kg</t>
        </is>
      </c>
    </row>
    <row r="8">
      <c r="A8" t="inlineStr">
        <is>
          <t>4/11.2 mm</t>
        </is>
      </c>
      <c r="C8" s="8">
        <f>'9-Reçete Rutubetli'!C18*25/1000</f>
        <v/>
      </c>
      <c r="D8" t="inlineStr">
        <is>
          <t>kg</t>
        </is>
      </c>
    </row>
    <row r="9">
      <c r="A9" t="inlineStr">
        <is>
          <t>11.2/22.4 mm</t>
        </is>
      </c>
      <c r="C9" s="8">
        <f>'9-Reçete Rutubetli'!C19*25/1000</f>
        <v/>
      </c>
      <c r="D9" t="inlineStr">
        <is>
          <t>kg</t>
        </is>
      </c>
    </row>
    <row r="11">
      <c r="A11" s="2" t="inlineStr">
        <is>
          <t>50 Litre Deneme</t>
        </is>
      </c>
    </row>
    <row r="12">
      <c r="A12" t="inlineStr">
        <is>
          <t>Çimento</t>
        </is>
      </c>
      <c r="C12" s="8">
        <f>'9-Reçete Rutubetli'!C14*50/1000</f>
        <v/>
      </c>
      <c r="D12" t="inlineStr">
        <is>
          <t>kg</t>
        </is>
      </c>
    </row>
    <row r="13">
      <c r="A13" t="inlineStr">
        <is>
          <t>Su</t>
        </is>
      </c>
      <c r="C13" s="8">
        <f>'9-Reçete Rutubetli'!C15*50/1000</f>
        <v/>
      </c>
      <c r="D13" t="inlineStr">
        <is>
          <t>kg</t>
        </is>
      </c>
    </row>
    <row r="14">
      <c r="A14" t="inlineStr">
        <is>
          <t>Kimyasal Katkı</t>
        </is>
      </c>
      <c r="C14" s="8">
        <f>'9-Reçete Rutubetli'!C16*50/1000</f>
        <v/>
      </c>
      <c r="D14" t="inlineStr">
        <is>
          <t>kg</t>
        </is>
      </c>
    </row>
    <row r="15">
      <c r="A15" t="inlineStr">
        <is>
          <t>0/4 mm</t>
        </is>
      </c>
      <c r="C15" s="8">
        <f>'9-Reçete Rutubetli'!C17*50/1000</f>
        <v/>
      </c>
      <c r="D15" t="inlineStr">
        <is>
          <t>kg</t>
        </is>
      </c>
    </row>
    <row r="16">
      <c r="A16" t="inlineStr">
        <is>
          <t>4/11.2 mm</t>
        </is>
      </c>
      <c r="C16" s="8">
        <f>'9-Reçete Rutubetli'!C18*50/1000</f>
        <v/>
      </c>
      <c r="D16" t="inlineStr">
        <is>
          <t>kg</t>
        </is>
      </c>
    </row>
    <row r="17">
      <c r="A17" t="inlineStr">
        <is>
          <t>11.2/22.4 mm</t>
        </is>
      </c>
      <c r="C17" s="8">
        <f>'9-Reçete Rutubetli'!C19*50/1000</f>
        <v/>
      </c>
      <c r="D17" t="inlineStr">
        <is>
          <t>kg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2025-12-25T21:29:16Z</dcterms:created>
  <dcterms:modified xmlns:dcterms="http://purl.org/dc/terms/" xmlns:xsi="http://www.w3.org/2001/XMLSchema-instance" xsi:type="dcterms:W3CDTF">2025-12-25T21:34:07Z</dcterms:modified>
</cp:coreProperties>
</file>